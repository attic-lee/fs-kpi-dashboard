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AM_Performance" sheetId="3" state="visible" r:id="rId5"/>
    <sheet name="RB_Revenue" sheetId="4" state="visible" r:id="rId6"/>
    <sheet name="Ins_Ratios" sheetId="5" state="visible" r:id="rId7"/>
    <sheet name="Group_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<sst xmlns="http://schemas.openxmlformats.org/spreadsheetml/2006/main" count="177" uniqueCount="150">
  <si>
    <t xml:space="preserve">UK FINANCIAL SERVICES</t>
  </si>
  <si>
    <t xml:space="preserve">KPI Analytics Model — FY 2022–2024</t>
  </si>
  <si>
    <t xml:space="preserve">Analyst: Attic C. Lee  ·  Three sectors: Asset Management · Retail Banking · Insurance</t>
  </si>
  <si>
    <t xml:space="preserve">COLOUR CODING LEGEND</t>
  </si>
  <si>
    <t xml:space="preserve">Blue text</t>
  </si>
  <si>
    <t xml:space="preserve">Hardcoded inputs — change these for scenarios</t>
  </si>
  <si>
    <t xml:space="preserve">Black text</t>
  </si>
  <si>
    <t xml:space="preserve">Formulas — calculated automatically</t>
  </si>
  <si>
    <t xml:space="preserve">Green text</t>
  </si>
  <si>
    <t xml:space="preserve">Cross-sheet links — pulling from another tab</t>
  </si>
  <si>
    <t xml:space="preserve">Yellow bg</t>
  </si>
  <si>
    <t xml:space="preserve">Key assumptions requiring review / update</t>
  </si>
  <si>
    <t xml:space="preserve">SHEET INDEX</t>
  </si>
  <si>
    <t xml:space="preserve">Cover</t>
  </si>
  <si>
    <t xml:space="preserve">This page — legend and sheet guide</t>
  </si>
  <si>
    <t xml:space="preserve">Assumptions</t>
  </si>
  <si>
    <t xml:space="preserve">Key model inputs — edit here for scenarios</t>
  </si>
  <si>
    <t xml:space="preserve">AM_Performance</t>
  </si>
  <si>
    <t xml:space="preserve">Asset management — AUM, returns, active alpha</t>
  </si>
  <si>
    <t xml:space="preserve">RB_Revenue</t>
  </si>
  <si>
    <t xml:space="preserve">Retail banking — product revenue, CIR, NPS</t>
  </si>
  <si>
    <t xml:space="preserve">Ins_Ratios</t>
  </si>
  <si>
    <t xml:space="preserve">Insurance — loss ratio, combined ratio, GWP</t>
  </si>
  <si>
    <t xml:space="preserve">Group_Summary</t>
  </si>
  <si>
    <t xml:space="preserve">Cross-sector KPI summary — executive view</t>
  </si>
  <si>
    <t xml:space="preserve">  Model Assumptions — Edit here for scenario analysis</t>
  </si>
  <si>
    <t xml:space="preserve">  ASSET MANAGEMENT</t>
  </si>
  <si>
    <t xml:space="preserve">Target equity fund return (annual %)</t>
  </si>
  <si>
    <t xml:space="preserve">Industry benchmark: ~8% for active equity</t>
  </si>
  <si>
    <t xml:space="preserve">Target fixed income return (annual %)</t>
  </si>
  <si>
    <t xml:space="preserve">IG bond market average</t>
  </si>
  <si>
    <t xml:space="preserve">Average management fee (bps)</t>
  </si>
  <si>
    <t xml:space="preserve">Institutional rate range: 40–120bps</t>
  </si>
  <si>
    <t xml:space="preserve">Hurdle rate for performance fees</t>
  </si>
  <si>
    <t xml:space="preserve">5% above which perf fees apply</t>
  </si>
  <si>
    <t xml:space="preserve">AUM growth target (annual %)</t>
  </si>
  <si>
    <t xml:space="preserve">Organic + net inflows assumption</t>
  </si>
  <si>
    <t xml:space="preserve">  RETAIL BANKING</t>
  </si>
  <si>
    <t xml:space="preserve">Net interest margin (%)</t>
  </si>
  <si>
    <t xml:space="preserve">UK bank NIM avg 2024: ~2.1%</t>
  </si>
  <si>
    <t xml:space="preserve">Cost-income ratio target</t>
  </si>
  <si>
    <t xml:space="preserve">Sector benchmark: 55–65%</t>
  </si>
  <si>
    <t xml:space="preserve">Digital adoption target (%)</t>
  </si>
  <si>
    <t xml:space="preserve">Strategy goal by end 2024</t>
  </si>
  <si>
    <t xml:space="preserve">NPS target score</t>
  </si>
  <si>
    <t xml:space="preserve">UK FS sector average: 30–45</t>
  </si>
  <si>
    <t xml:space="preserve">Customer churn rate assumption (%)</t>
  </si>
  <si>
    <t xml:space="preserve">Monthly churn rate</t>
  </si>
  <si>
    <t xml:space="preserve">  INSURANCE</t>
  </si>
  <si>
    <t xml:space="preserve">Target combined ratio</t>
  </si>
  <si>
    <t xml:space="preserve">&lt;100% = underwriting profit</t>
  </si>
  <si>
    <t xml:space="preserve">Target loss ratio</t>
  </si>
  <si>
    <t xml:space="preserve">UK motor market avg: ~65%</t>
  </si>
  <si>
    <t xml:space="preserve">Target expense ratio</t>
  </si>
  <si>
    <t xml:space="preserve">Efficiency target</t>
  </si>
  <si>
    <t xml:space="preserve">GWP growth target (annual %)</t>
  </si>
  <si>
    <t xml:space="preserve">Market rate inflation + new business</t>
  </si>
  <si>
    <t xml:space="preserve">Reserve adequacy minimum (%)</t>
  </si>
  <si>
    <t xml:space="preserve">Reserves &gt;= 100% of expected claims</t>
  </si>
  <si>
    <t xml:space="preserve">  Asset Management — Annual Fund Performance Summary (£mm AUM)</t>
  </si>
  <si>
    <t xml:space="preserve">Fund Name</t>
  </si>
  <si>
    <t xml:space="preserve">Asset Class</t>
  </si>
  <si>
    <t xml:space="preserve">2022 AUM</t>
  </si>
  <si>
    <t xml:space="preserve">2023 AUM</t>
  </si>
  <si>
    <t xml:space="preserve">2024 AUM</t>
  </si>
  <si>
    <t xml:space="preserve">2022 Return%</t>
  </si>
  <si>
    <t xml:space="preserve">2023 Return%</t>
  </si>
  <si>
    <t xml:space="preserve">2024 Return%</t>
  </si>
  <si>
    <t xml:space="preserve">ESG Multi-Asset Fund</t>
  </si>
  <si>
    <t xml:space="preserve">Multi-Asset</t>
  </si>
  <si>
    <t xml:space="preserve">Global Bond Income Fund</t>
  </si>
  <si>
    <t xml:space="preserve">Fixed Income</t>
  </si>
  <si>
    <t xml:space="preserve">Infrastructure Debt Fund</t>
  </si>
  <si>
    <t xml:space="preserve">Alternatives</t>
  </si>
  <si>
    <t xml:space="preserve">Short Duration Credit Fund</t>
  </si>
  <si>
    <t xml:space="preserve">UK Equity Growth Fund</t>
  </si>
  <si>
    <t xml:space="preserve">Equity</t>
  </si>
  <si>
    <t xml:space="preserve">US Large Cap Fund</t>
  </si>
  <si>
    <t xml:space="preserve">  Total AUM / Portfolio Return (all funds)</t>
  </si>
  <si>
    <t xml:space="preserve">TOTAL / AVERAGE</t>
  </si>
  <si>
    <t xml:space="preserve">  Active Return vs Benchmark (annual basis points)</t>
  </si>
  <si>
    <t xml:space="preserve">2022 Active Ret</t>
  </si>
  <si>
    <t xml:space="preserve">2023 Active Ret</t>
  </si>
  <si>
    <t xml:space="preserve">2024 Active Ret</t>
  </si>
  <si>
    <t xml:space="preserve">3Y Avg</t>
  </si>
  <si>
    <t xml:space="preserve">  Retail Banking — Annual Product Revenue &amp; KPIs</t>
  </si>
  <si>
    <t xml:space="preserve">Product</t>
  </si>
  <si>
    <t xml:space="preserve">Segment</t>
  </si>
  <si>
    <t xml:space="preserve">2022 Rev(£k)</t>
  </si>
  <si>
    <t xml:space="preserve">2023 Rev(£k)</t>
  </si>
  <si>
    <t xml:space="preserve">2024 Rev(£k)</t>
  </si>
  <si>
    <t xml:space="preserve">2024 NPS</t>
  </si>
  <si>
    <t xml:space="preserve">2024 CIR</t>
  </si>
  <si>
    <t xml:space="preserve">2024 Digital%</t>
  </si>
  <si>
    <t xml:space="preserve">Rev Growth 22→24</t>
  </si>
  <si>
    <t xml:space="preserve">Credit Cards</t>
  </si>
  <si>
    <t xml:space="preserve">Personal</t>
  </si>
  <si>
    <t xml:space="preserve">Current Accounts</t>
  </si>
  <si>
    <t xml:space="preserve">Mortgages</t>
  </si>
  <si>
    <t xml:space="preserve">Personal Loans</t>
  </si>
  <si>
    <t xml:space="preserve">SME Business Accounts</t>
  </si>
  <si>
    <t xml:space="preserve">Business</t>
  </si>
  <si>
    <t xml:space="preserve">SME Lending</t>
  </si>
  <si>
    <t xml:space="preserve">Savings Accounts</t>
  </si>
  <si>
    <t xml:space="preserve">Trade Finance</t>
  </si>
  <si>
    <t xml:space="preserve">  Total Revenue by Segment</t>
  </si>
  <si>
    <t xml:space="preserve">TOTAL</t>
  </si>
  <si>
    <t xml:space="preserve">  Insurance — Annual Ratios &amp; Underwriting Performance</t>
  </si>
  <si>
    <t xml:space="preserve">Line of Business</t>
  </si>
  <si>
    <t xml:space="preserve">2022 GWP(£k)</t>
  </si>
  <si>
    <t xml:space="preserve">2023 GWP(£k)</t>
  </si>
  <si>
    <t xml:space="preserve">2024 GWP(£k)</t>
  </si>
  <si>
    <t xml:space="preserve">2024 Loss Ratio</t>
  </si>
  <si>
    <t xml:space="preserve">2024 Exp Ratio</t>
  </si>
  <si>
    <t xml:space="preserve">2024 Combined</t>
  </si>
  <si>
    <t xml:space="preserve">2024 UW Profit(£k)</t>
  </si>
  <si>
    <t xml:space="preserve">Renewal Rate</t>
  </si>
  <si>
    <t xml:space="preserve">Commercial Property</t>
  </si>
  <si>
    <t xml:space="preserve">Cyber</t>
  </si>
  <si>
    <t xml:space="preserve">Health &amp; Protection</t>
  </si>
  <si>
    <t xml:space="preserve">Home</t>
  </si>
  <si>
    <t xml:space="preserve">Liability</t>
  </si>
  <si>
    <t xml:space="preserve">Motor</t>
  </si>
  <si>
    <t xml:space="preserve">  Portfolio Totals / Weighted Averages</t>
  </si>
  <si>
    <t xml:space="preserve">TOTAL PORTFOLIO</t>
  </si>
  <si>
    <t xml:space="preserve">  Group KPI Summary — Cross-Sector Executive View (FY 2024)</t>
  </si>
  <si>
    <t xml:space="preserve">KPI</t>
  </si>
  <si>
    <t xml:space="preserve">Asset Management</t>
  </si>
  <si>
    <t xml:space="preserve">Retail Banking</t>
  </si>
  <si>
    <t xml:space="preserve">Insurance</t>
  </si>
  <si>
    <t xml:space="preserve">Notes</t>
  </si>
  <si>
    <t xml:space="preserve">  REVENUE / AUM</t>
  </si>
  <si>
    <t xml:space="preserve">Total AUM / Revenue (£k, 2024)</t>
  </si>
  <si>
    <t xml:space="preserve">Cross-sector totals</t>
  </si>
  <si>
    <t xml:space="preserve">YoY Revenue Growth</t>
  </si>
  <si>
    <t xml:space="preserve">—</t>
  </si>
  <si>
    <t xml:space="preserve">2022→2024</t>
  </si>
  <si>
    <t xml:space="preserve">  PROFITABILITY</t>
  </si>
  <si>
    <t xml:space="preserve">Cost-Income Ratio (2024)</t>
  </si>
  <si>
    <t xml:space="preserve">Target: &lt;60%</t>
  </si>
  <si>
    <t xml:space="preserve">Combined Ratio (2024 avg)</t>
  </si>
  <si>
    <t xml:space="preserve">Target: &lt;100%</t>
  </si>
  <si>
    <t xml:space="preserve">  CUSTOMER METRICS</t>
  </si>
  <si>
    <t xml:space="preserve">NPS Score (2024 avg)</t>
  </si>
  <si>
    <t xml:space="preserve">Target: &gt;40</t>
  </si>
  <si>
    <t xml:space="preserve">Renewal Rate (2024 avg)</t>
  </si>
  <si>
    <t xml:space="preserve">Target: &gt;85%</t>
  </si>
  <si>
    <t xml:space="preserve">  RISK</t>
  </si>
  <si>
    <t xml:space="preserve">Active Return vs Benchmark (bps)</t>
  </si>
  <si>
    <t xml:space="preserve">Positive = alpha generation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</si>
</sst>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"/>
    <numFmt numFmtId="167" formatCode="#,##0.0"/>
    <numFmt numFmtId="168" formatCode="0.00%"/>
    <numFmt numFmtId="169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B2A4A"/>
      <name val="Arial"/>
      <family val="0"/>
      <charset val="1"/>
    </font>
    <font>
      <sz val="14"/>
      <color rgb="FF6B7280"/>
      <name val="Arial"/>
      <family val="0"/>
      <charset val="1"/>
    </font>
    <font>
      <i val="true"/>
      <sz val="10"/>
      <color rgb="FF9CA3A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B2A4A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6B7280"/>
      <name val="Arial"/>
      <family val="0"/>
      <charset val="1"/>
    </font>
    <font>
      <sz val="10"/>
      <color rgb="FF991B1B"/>
      <name val="Arial"/>
      <family val="0"/>
      <charset val="1"/>
    </font>
    <font>
      <sz val="10"/>
      <color rgb="FF166534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sz val="10"/>
      <color rgb="FF9CA3A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374151"/>
      </patternFill>
    </fill>
    <fill>
      <patternFill patternType="solid">
        <fgColor rgb="FFDBEAFE"/>
        <bgColor rgb="FFDCFCE7"/>
      </patternFill>
    </fill>
    <fill>
      <patternFill patternType="solid">
        <fgColor rgb="FFF9FAFB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374151"/>
        <bgColor rgb="FF1B2A4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6534"/>
      <rgbColor rgb="FFC0C0C0"/>
      <rgbColor rgb="FF808080"/>
      <rgbColor rgb="FF8B5CF6"/>
      <rgbColor rgb="FF993366"/>
      <rgbColor rgb="FFF9FAFB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FF6600"/>
      <rgbColor rgb="FF6B7280"/>
      <rgbColor rgb="FF9CA3AF"/>
      <rgbColor rgb="FF1B2A4A"/>
      <rgbColor rgb="FF10B981"/>
      <rgbColor rgb="FF003300"/>
      <rgbColor rgb="FF333300"/>
      <rgbColor rgb="FF991B1B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48"/>
  </cols>
  <sheetData>
    <row r="1" customFormat="false" ht="36" hidden="false" customHeight="true" outlineLevel="0" collapsed="false">
      <c r="A1" s="1" t="s">
        <v>0</v>
      </c>
    </row>
    <row r="2" customFormat="false" ht="21.75" hidden="false" customHeight="true" outlineLevel="0" collapsed="false">
      <c r="A2" s="2" t="s">
        <v>1</v>
      </c>
    </row>
    <row r="3" customFormat="false" ht="18" hidden="false" customHeight="true" outlineLevel="0" collapsed="false">
      <c r="A3" s="3" t="s">
        <v>2</v>
      </c>
    </row>
    <row r="7" customFormat="false" ht="21.75" hidden="false" customHeight="true" outlineLevel="0" collapsed="false">
      <c r="A7" s="4" t="s">
        <v>3</v>
      </c>
      <c r="C7" s="5"/>
    </row>
    <row r="8" customFormat="false" ht="21.75" hidden="false" customHeight="true" outlineLevel="0" collapsed="false">
      <c r="A8" s="6" t="s">
        <v>4</v>
      </c>
      <c r="C8" s="5" t="s">
        <v>5</v>
      </c>
    </row>
    <row r="9" customFormat="false" ht="21.75" hidden="false" customHeight="true" outlineLevel="0" collapsed="false">
      <c r="A9" s="7" t="s">
        <v>6</v>
      </c>
      <c r="C9" s="5" t="s">
        <v>7</v>
      </c>
    </row>
    <row r="10" customFormat="false" ht="21.75" hidden="false" customHeight="true" outlineLevel="0" collapsed="false">
      <c r="A10" s="8" t="s">
        <v>8</v>
      </c>
      <c r="C10" s="5" t="s">
        <v>9</v>
      </c>
    </row>
    <row r="11" customFormat="false" ht="21.75" hidden="false" customHeight="true" outlineLevel="0" collapsed="false">
      <c r="A11" s="9" t="s">
        <v>10</v>
      </c>
      <c r="C11" s="5" t="s">
        <v>11</v>
      </c>
    </row>
    <row r="14" customFormat="false" ht="15" hidden="false" customHeight="false" outlineLevel="0" collapsed="false">
      <c r="A14" s="10" t="s">
        <v>12</v>
      </c>
    </row>
    <row r="15" customFormat="false" ht="15" hidden="false" customHeight="false" outlineLevel="0" collapsed="false">
      <c r="A15" s="11" t="s">
        <v>13</v>
      </c>
      <c r="C15" s="12" t="s">
        <v>14</v>
      </c>
    </row>
    <row r="16" customFormat="false" ht="15" hidden="false" customHeight="false" outlineLevel="0" collapsed="false">
      <c r="A16" s="11" t="s">
        <v>15</v>
      </c>
      <c r="C16" s="12" t="s">
        <v>16</v>
      </c>
    </row>
    <row r="17" customFormat="false" ht="15" hidden="false" customHeight="false" outlineLevel="0" collapsed="false">
      <c r="A17" s="11" t="s">
        <v>17</v>
      </c>
      <c r="C17" s="12" t="s">
        <v>18</v>
      </c>
    </row>
    <row r="18" customFormat="false" ht="15" hidden="false" customHeight="false" outlineLevel="0" collapsed="false">
      <c r="A18" s="11" t="s">
        <v>19</v>
      </c>
      <c r="C18" s="12" t="s">
        <v>20</v>
      </c>
    </row>
    <row r="19" customFormat="false" ht="15" hidden="false" customHeight="false" outlineLevel="0" collapsed="false">
      <c r="A19" s="11" t="s">
        <v>21</v>
      </c>
      <c r="C19" s="12" t="s">
        <v>22</v>
      </c>
    </row>
    <row r="20" customFormat="false" ht="15" hidden="false" customHeight="false" outlineLevel="0" collapsed="false">
      <c r="A20" s="11" t="s">
        <v>23</v>
      </c>
      <c r="C20" s="1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4" hidden="false" customHeight="true" outlineLevel="0" collapsed="false">
      <c r="A1" s="13" t="s">
        <v>25</v>
      </c>
      <c r="B1" s="13"/>
      <c r="C1" s="13"/>
    </row>
    <row r="2" customFormat="false" ht="21.75" hidden="false" customHeight="true" outlineLevel="0" collapsed="false">
      <c r="A2" s="14" t="s">
        <v>26</v>
      </c>
      <c r="B2" s="14"/>
      <c r="C2" s="14"/>
    </row>
    <row r="3" customFormat="false" ht="21.75" hidden="false" customHeight="true" outlineLevel="0" collapsed="false">
      <c r="A3" s="15" t="s">
        <v>27</v>
      </c>
      <c r="B3" s="16" t="n">
        <v>0.08</v>
      </c>
      <c r="C3" s="17" t="s">
        <v>28</v>
      </c>
    </row>
    <row r="4" customFormat="false" ht="21.75" hidden="false" customHeight="true" outlineLevel="0" collapsed="false">
      <c r="A4" s="15" t="s">
        <v>29</v>
      </c>
      <c r="B4" s="16" t="n">
        <v>0.04</v>
      </c>
      <c r="C4" s="17" t="s">
        <v>30</v>
      </c>
    </row>
    <row r="5" customFormat="false" ht="21.75" hidden="false" customHeight="true" outlineLevel="0" collapsed="false">
      <c r="A5" s="15" t="s">
        <v>31</v>
      </c>
      <c r="B5" s="18" t="n">
        <v>65</v>
      </c>
      <c r="C5" s="17" t="s">
        <v>32</v>
      </c>
    </row>
    <row r="6" customFormat="false" ht="21.75" hidden="false" customHeight="true" outlineLevel="0" collapsed="false">
      <c r="A6" s="15" t="s">
        <v>33</v>
      </c>
      <c r="B6" s="16" t="n">
        <v>0.05</v>
      </c>
      <c r="C6" s="17" t="s">
        <v>34</v>
      </c>
    </row>
    <row r="7" customFormat="false" ht="21.75" hidden="false" customHeight="true" outlineLevel="0" collapsed="false">
      <c r="A7" s="15" t="s">
        <v>35</v>
      </c>
      <c r="B7" s="16" t="n">
        <v>0.07</v>
      </c>
      <c r="C7" s="17" t="s">
        <v>36</v>
      </c>
    </row>
    <row r="8" customFormat="false" ht="21.75" hidden="false" customHeight="true" outlineLevel="0" collapsed="false">
      <c r="A8" s="14" t="s">
        <v>37</v>
      </c>
      <c r="B8" s="14"/>
      <c r="C8" s="14"/>
    </row>
    <row r="9" customFormat="false" ht="21.75" hidden="false" customHeight="true" outlineLevel="0" collapsed="false">
      <c r="A9" s="15" t="s">
        <v>38</v>
      </c>
      <c r="B9" s="16" t="n">
        <v>0.021</v>
      </c>
      <c r="C9" s="17" t="s">
        <v>39</v>
      </c>
    </row>
    <row r="10" customFormat="false" ht="21.75" hidden="false" customHeight="true" outlineLevel="0" collapsed="false">
      <c r="A10" s="15" t="s">
        <v>40</v>
      </c>
      <c r="B10" s="16" t="n">
        <v>0.6</v>
      </c>
      <c r="C10" s="17" t="s">
        <v>41</v>
      </c>
    </row>
    <row r="11" customFormat="false" ht="21.75" hidden="false" customHeight="true" outlineLevel="0" collapsed="false">
      <c r="A11" s="15" t="s">
        <v>42</v>
      </c>
      <c r="B11" s="16" t="n">
        <v>0.85</v>
      </c>
      <c r="C11" s="17" t="s">
        <v>43</v>
      </c>
    </row>
    <row r="12" customFormat="false" ht="21.75" hidden="false" customHeight="true" outlineLevel="0" collapsed="false">
      <c r="A12" s="15" t="s">
        <v>44</v>
      </c>
      <c r="B12" s="18" t="n">
        <v>40</v>
      </c>
      <c r="C12" s="17" t="s">
        <v>45</v>
      </c>
    </row>
    <row r="13" customFormat="false" ht="21.75" hidden="false" customHeight="true" outlineLevel="0" collapsed="false">
      <c r="A13" s="15" t="s">
        <v>46</v>
      </c>
      <c r="B13" s="16" t="n">
        <v>0.015</v>
      </c>
      <c r="C13" s="17" t="s">
        <v>47</v>
      </c>
    </row>
    <row r="14" customFormat="false" ht="21.75" hidden="false" customHeight="true" outlineLevel="0" collapsed="false">
      <c r="A14" s="14" t="s">
        <v>48</v>
      </c>
      <c r="B14" s="14"/>
      <c r="C14" s="14"/>
    </row>
    <row r="15" customFormat="false" ht="21.75" hidden="false" customHeight="true" outlineLevel="0" collapsed="false">
      <c r="A15" s="15" t="s">
        <v>49</v>
      </c>
      <c r="B15" s="16" t="n">
        <v>0.95</v>
      </c>
      <c r="C15" s="17" t="s">
        <v>50</v>
      </c>
    </row>
    <row r="16" customFormat="false" ht="21.75" hidden="false" customHeight="true" outlineLevel="0" collapsed="false">
      <c r="A16" s="15" t="s">
        <v>51</v>
      </c>
      <c r="B16" s="16" t="n">
        <v>0.62</v>
      </c>
      <c r="C16" s="17" t="s">
        <v>52</v>
      </c>
    </row>
    <row r="17" customFormat="false" ht="21.75" hidden="false" customHeight="true" outlineLevel="0" collapsed="false">
      <c r="A17" s="15" t="s">
        <v>53</v>
      </c>
      <c r="B17" s="16" t="n">
        <v>0.28</v>
      </c>
      <c r="C17" s="17" t="s">
        <v>54</v>
      </c>
    </row>
    <row r="18" customFormat="false" ht="21.75" hidden="false" customHeight="true" outlineLevel="0" collapsed="false">
      <c r="A18" s="15" t="s">
        <v>55</v>
      </c>
      <c r="B18" s="16" t="n">
        <v>0.06</v>
      </c>
      <c r="C18" s="17" t="s">
        <v>56</v>
      </c>
    </row>
    <row r="19" customFormat="false" ht="21.75" hidden="false" customHeight="true" outlineLevel="0" collapsed="false">
      <c r="A19" s="15" t="s">
        <v>57</v>
      </c>
      <c r="B19" s="16" t="n">
        <v>1</v>
      </c>
      <c r="C19" s="17" t="s">
        <v>58</v>
      </c>
    </row>
  </sheetData>
  <mergeCells count="4">
    <mergeCell ref="A1:C1"/>
    <mergeCell ref="A2:C2"/>
    <mergeCell ref="A8:C8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4"/>
  </cols>
  <sheetData>
    <row r="1" customFormat="false" ht="24" hidden="false" customHeight="true" outlineLevel="0" collapsed="false">
      <c r="A1" s="13" t="s">
        <v>59</v>
      </c>
      <c r="B1" s="13"/>
      <c r="C1" s="13"/>
      <c r="D1" s="13"/>
      <c r="E1" s="13"/>
      <c r="F1" s="13"/>
      <c r="G1" s="13"/>
      <c r="H1" s="13"/>
    </row>
    <row r="2" customFormat="false" ht="27.75" hidden="false" customHeight="true" outlineLevel="0" collapsed="false">
      <c r="A2" s="19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19" t="s">
        <v>67</v>
      </c>
    </row>
    <row r="3" customFormat="false" ht="19.5" hidden="false" customHeight="true" outlineLevel="0" collapsed="false">
      <c r="A3" s="20" t="s">
        <v>68</v>
      </c>
      <c r="B3" s="21" t="s">
        <v>69</v>
      </c>
      <c r="C3" s="22" t="n">
        <v>436.7</v>
      </c>
      <c r="D3" s="22" t="n">
        <v>460.3</v>
      </c>
      <c r="E3" s="22" t="n">
        <v>527.4</v>
      </c>
      <c r="F3" s="23" t="n">
        <v>-0.0718</v>
      </c>
      <c r="G3" s="23" t="n">
        <v>-0.1192</v>
      </c>
      <c r="H3" s="24" t="n">
        <v>0.09</v>
      </c>
    </row>
    <row r="4" customFormat="false" ht="19.5" hidden="false" customHeight="true" outlineLevel="0" collapsed="false">
      <c r="A4" s="20" t="s">
        <v>70</v>
      </c>
      <c r="B4" s="21" t="s">
        <v>71</v>
      </c>
      <c r="C4" s="22" t="n">
        <v>651.7</v>
      </c>
      <c r="D4" s="22" t="n">
        <v>712.7</v>
      </c>
      <c r="E4" s="22" t="n">
        <v>786.9</v>
      </c>
      <c r="F4" s="24" t="n">
        <v>0.0155</v>
      </c>
      <c r="G4" s="24" t="n">
        <v>0.0408</v>
      </c>
      <c r="H4" s="24" t="n">
        <v>0.0285</v>
      </c>
    </row>
    <row r="5" customFormat="false" ht="19.5" hidden="false" customHeight="true" outlineLevel="0" collapsed="false">
      <c r="A5" s="20" t="s">
        <v>72</v>
      </c>
      <c r="B5" s="21" t="s">
        <v>73</v>
      </c>
      <c r="C5" s="22" t="n">
        <v>412.4</v>
      </c>
      <c r="D5" s="22" t="n">
        <v>490.6</v>
      </c>
      <c r="E5" s="22" t="n">
        <v>638</v>
      </c>
      <c r="F5" s="24" t="n">
        <v>0.0114</v>
      </c>
      <c r="G5" s="24" t="n">
        <v>0.1662</v>
      </c>
      <c r="H5" s="24" t="n">
        <v>0.0816</v>
      </c>
    </row>
    <row r="6" customFormat="false" ht="19.5" hidden="false" customHeight="true" outlineLevel="0" collapsed="false">
      <c r="A6" s="20" t="s">
        <v>74</v>
      </c>
      <c r="B6" s="21" t="s">
        <v>71</v>
      </c>
      <c r="C6" s="22" t="n">
        <v>298.8</v>
      </c>
      <c r="D6" s="22" t="n">
        <v>364.6</v>
      </c>
      <c r="E6" s="22" t="n">
        <v>478</v>
      </c>
      <c r="F6" s="25" t="n">
        <v>-0.0197</v>
      </c>
      <c r="G6" s="24" t="n">
        <v>0.083</v>
      </c>
      <c r="H6" s="24" t="n">
        <v>0.116</v>
      </c>
    </row>
    <row r="7" customFormat="false" ht="19.5" hidden="false" customHeight="true" outlineLevel="0" collapsed="false">
      <c r="A7" s="20" t="s">
        <v>75</v>
      </c>
      <c r="B7" s="21" t="s">
        <v>76</v>
      </c>
      <c r="C7" s="22" t="n">
        <v>870.7</v>
      </c>
      <c r="D7" s="22" t="n">
        <v>1017.5</v>
      </c>
      <c r="E7" s="22" t="n">
        <v>1254.4</v>
      </c>
      <c r="F7" s="25" t="n">
        <v>-0.0015</v>
      </c>
      <c r="G7" s="24" t="n">
        <v>0.2473</v>
      </c>
      <c r="H7" s="24" t="n">
        <v>0.0723</v>
      </c>
    </row>
    <row r="8" customFormat="false" ht="19.5" hidden="false" customHeight="true" outlineLevel="0" collapsed="false">
      <c r="A8" s="20" t="s">
        <v>77</v>
      </c>
      <c r="B8" s="21" t="s">
        <v>76</v>
      </c>
      <c r="C8" s="22" t="n">
        <v>1236.5</v>
      </c>
      <c r="D8" s="22" t="n">
        <v>1304.1</v>
      </c>
      <c r="E8" s="22" t="n">
        <v>1314.1</v>
      </c>
      <c r="F8" s="24" t="n">
        <v>0.1737</v>
      </c>
      <c r="G8" s="25" t="n">
        <v>-0.0279</v>
      </c>
      <c r="H8" s="25" t="n">
        <v>-0.0138</v>
      </c>
    </row>
    <row r="10" customFormat="false" ht="24" hidden="false" customHeight="true" outlineLevel="0" collapsed="false">
      <c r="A10" s="14" t="s">
        <v>78</v>
      </c>
      <c r="B10" s="14"/>
      <c r="C10" s="14"/>
      <c r="D10" s="14"/>
      <c r="E10" s="14"/>
      <c r="F10" s="14"/>
      <c r="G10" s="14"/>
      <c r="H10" s="14"/>
    </row>
    <row r="11" customFormat="false" ht="21.75" hidden="false" customHeight="true" outlineLevel="0" collapsed="false">
      <c r="A11" s="26" t="s">
        <v>79</v>
      </c>
      <c r="B11" s="27"/>
      <c r="C11" s="28" t="n">
        <f aca="false">SUM(C3:C9)</f>
        <v>3906.8</v>
      </c>
      <c r="D11" s="28" t="n">
        <f aca="false">SUM(D3:D9)</f>
        <v>4349.8</v>
      </c>
      <c r="E11" s="28" t="n">
        <f aca="false">SUM(E3:E9)</f>
        <v>4998.8</v>
      </c>
      <c r="F11" s="29" t="n">
        <f aca="false">AVERAGE(F3:F9)</f>
        <v>0.0179333333333333</v>
      </c>
      <c r="G11" s="29" t="n">
        <f aca="false">AVERAGE(G3:G9)</f>
        <v>0.0650333333333333</v>
      </c>
      <c r="H11" s="29" t="n">
        <f aca="false">AVERAGE(H3:H9)</f>
        <v>0.0624333333333333</v>
      </c>
    </row>
    <row r="13" customFormat="false" ht="24" hidden="false" customHeight="true" outlineLevel="0" collapsed="false">
      <c r="A13" s="13" t="s">
        <v>80</v>
      </c>
      <c r="B13" s="13"/>
      <c r="C13" s="13"/>
      <c r="D13" s="13"/>
      <c r="E13" s="13"/>
    </row>
    <row r="14" customFormat="false" ht="15" hidden="false" customHeight="false" outlineLevel="0" collapsed="false">
      <c r="A14" s="19" t="s">
        <v>60</v>
      </c>
      <c r="B14" s="19" t="s">
        <v>81</v>
      </c>
      <c r="C14" s="19" t="s">
        <v>82</v>
      </c>
      <c r="D14" s="19" t="s">
        <v>83</v>
      </c>
      <c r="E14" s="19" t="s">
        <v>84</v>
      </c>
    </row>
    <row r="15" customFormat="false" ht="19.5" hidden="false" customHeight="true" outlineLevel="0" collapsed="false">
      <c r="A15" s="30" t="s">
        <v>68</v>
      </c>
      <c r="B15" s="31" t="n">
        <v>1012.2</v>
      </c>
      <c r="C15" s="32" t="n">
        <v>-2504.7</v>
      </c>
      <c r="D15" s="32" t="n">
        <v>-918</v>
      </c>
      <c r="E15" s="33" t="n">
        <f aca="false">AVERAGE(B15:D15)</f>
        <v>-803.5</v>
      </c>
    </row>
    <row r="16" customFormat="false" ht="19.5" hidden="false" customHeight="true" outlineLevel="0" collapsed="false">
      <c r="A16" s="30" t="s">
        <v>70</v>
      </c>
      <c r="B16" s="31" t="n">
        <v>1190.6</v>
      </c>
      <c r="C16" s="31" t="n">
        <v>751.1</v>
      </c>
      <c r="D16" s="31" t="n">
        <v>649.9</v>
      </c>
      <c r="E16" s="33" t="n">
        <f aca="false">AVERAGE(B16:D16)</f>
        <v>863.866666666667</v>
      </c>
    </row>
    <row r="17" customFormat="false" ht="19.5" hidden="false" customHeight="true" outlineLevel="0" collapsed="false">
      <c r="A17" s="30" t="s">
        <v>72</v>
      </c>
      <c r="B17" s="32" t="n">
        <v>-721.9</v>
      </c>
      <c r="C17" s="31" t="n">
        <v>1258.8</v>
      </c>
      <c r="D17" s="31" t="n">
        <v>1215.5</v>
      </c>
      <c r="E17" s="33" t="n">
        <f aca="false">AVERAGE(B17:D17)</f>
        <v>584.133333333333</v>
      </c>
    </row>
    <row r="18" customFormat="false" ht="19.5" hidden="false" customHeight="true" outlineLevel="0" collapsed="false">
      <c r="A18" s="30" t="s">
        <v>74</v>
      </c>
      <c r="B18" s="31" t="n">
        <v>65.8</v>
      </c>
      <c r="C18" s="31" t="n">
        <v>313.4</v>
      </c>
      <c r="D18" s="31" t="n">
        <v>378.8</v>
      </c>
      <c r="E18" s="33" t="n">
        <f aca="false">AVERAGE(B18:D18)</f>
        <v>252.666666666667</v>
      </c>
    </row>
    <row r="19" customFormat="false" ht="19.5" hidden="false" customHeight="true" outlineLevel="0" collapsed="false">
      <c r="A19" s="30" t="s">
        <v>75</v>
      </c>
      <c r="B19" s="31" t="n">
        <v>585.8</v>
      </c>
      <c r="C19" s="32" t="n">
        <v>-586.1</v>
      </c>
      <c r="D19" s="32" t="n">
        <v>-2855.6</v>
      </c>
      <c r="E19" s="33" t="n">
        <f aca="false">AVERAGE(B19:D19)</f>
        <v>-951.966666666667</v>
      </c>
    </row>
    <row r="20" customFormat="false" ht="19.5" hidden="false" customHeight="true" outlineLevel="0" collapsed="false">
      <c r="A20" s="30" t="s">
        <v>77</v>
      </c>
      <c r="B20" s="31" t="n">
        <v>1426</v>
      </c>
      <c r="C20" s="31" t="n">
        <v>358.3</v>
      </c>
      <c r="D20" s="32" t="n">
        <v>-2876.7</v>
      </c>
      <c r="E20" s="33" t="n">
        <f aca="false">AVERAGE(B20:D20)</f>
        <v>-364.133333333333</v>
      </c>
    </row>
  </sheetData>
  <mergeCells count="3">
    <mergeCell ref="A1:H1"/>
    <mergeCell ref="A10:H10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24" hidden="false" customHeight="true" outlineLevel="0" collapsed="false">
      <c r="A1" s="13" t="s">
        <v>85</v>
      </c>
      <c r="B1" s="13"/>
      <c r="C1" s="13"/>
      <c r="D1" s="13"/>
      <c r="E1" s="13"/>
      <c r="F1" s="13"/>
      <c r="G1" s="13"/>
      <c r="H1" s="13"/>
      <c r="I1" s="13"/>
    </row>
    <row r="2" customFormat="false" ht="27.75" hidden="false" customHeight="true" outlineLevel="0" collapsed="false">
      <c r="A2" s="19" t="s">
        <v>86</v>
      </c>
      <c r="B2" s="19" t="s">
        <v>87</v>
      </c>
      <c r="C2" s="19" t="s">
        <v>88</v>
      </c>
      <c r="D2" s="19" t="s">
        <v>89</v>
      </c>
      <c r="E2" s="19" t="s">
        <v>90</v>
      </c>
      <c r="F2" s="19" t="s">
        <v>91</v>
      </c>
      <c r="G2" s="19" t="s">
        <v>92</v>
      </c>
      <c r="H2" s="19" t="s">
        <v>93</v>
      </c>
      <c r="I2" s="19" t="s">
        <v>94</v>
      </c>
    </row>
    <row r="3" customFormat="false" ht="19.5" hidden="false" customHeight="true" outlineLevel="0" collapsed="false">
      <c r="A3" s="20" t="s">
        <v>95</v>
      </c>
      <c r="B3" s="21" t="s">
        <v>96</v>
      </c>
      <c r="C3" s="22" t="n">
        <v>73992.5</v>
      </c>
      <c r="D3" s="22" t="n">
        <v>78154.7</v>
      </c>
      <c r="E3" s="22" t="n">
        <v>79886.9</v>
      </c>
      <c r="F3" s="34" t="n">
        <v>29.2</v>
      </c>
      <c r="G3" s="35" t="n">
        <v>0.611666666666667</v>
      </c>
      <c r="H3" s="35" t="n">
        <v>0.719416666666667</v>
      </c>
      <c r="I3" s="36" t="n">
        <f aca="false">(E3-C3)/C3</f>
        <v>0.07966212791837</v>
      </c>
    </row>
    <row r="4" customFormat="false" ht="19.5" hidden="false" customHeight="true" outlineLevel="0" collapsed="false">
      <c r="A4" s="20" t="s">
        <v>97</v>
      </c>
      <c r="B4" s="21" t="s">
        <v>96</v>
      </c>
      <c r="C4" s="22" t="n">
        <v>49462.8</v>
      </c>
      <c r="D4" s="22" t="n">
        <v>52315.4</v>
      </c>
      <c r="E4" s="22" t="n">
        <v>54263.4</v>
      </c>
      <c r="F4" s="34" t="n">
        <v>30.3</v>
      </c>
      <c r="G4" s="35" t="n">
        <v>0.602166666666667</v>
      </c>
      <c r="H4" s="35" t="n">
        <v>0.725</v>
      </c>
      <c r="I4" s="36" t="n">
        <f aca="false">(E4-C4)/C4</f>
        <v>0.0970547563017055</v>
      </c>
    </row>
    <row r="5" customFormat="false" ht="19.5" hidden="false" customHeight="true" outlineLevel="0" collapsed="false">
      <c r="A5" s="20" t="s">
        <v>98</v>
      </c>
      <c r="B5" s="21" t="s">
        <v>96</v>
      </c>
      <c r="C5" s="22" t="n">
        <v>147809.5</v>
      </c>
      <c r="D5" s="22" t="n">
        <v>154389.4</v>
      </c>
      <c r="E5" s="22" t="n">
        <v>162001.6</v>
      </c>
      <c r="F5" s="34" t="n">
        <v>33</v>
      </c>
      <c r="G5" s="35" t="n">
        <v>0.610333333333333</v>
      </c>
      <c r="H5" s="35" t="n">
        <v>0.724333333333333</v>
      </c>
      <c r="I5" s="36" t="n">
        <f aca="false">(E5-C5)/C5</f>
        <v>0.0960161559304375</v>
      </c>
    </row>
    <row r="6" customFormat="false" ht="19.5" hidden="false" customHeight="true" outlineLevel="0" collapsed="false">
      <c r="A6" s="20" t="s">
        <v>99</v>
      </c>
      <c r="B6" s="21" t="s">
        <v>96</v>
      </c>
      <c r="C6" s="22" t="n">
        <v>68290.2</v>
      </c>
      <c r="D6" s="22" t="n">
        <v>73028.7</v>
      </c>
      <c r="E6" s="22" t="n">
        <v>75791.7</v>
      </c>
      <c r="F6" s="34" t="n">
        <v>29.2</v>
      </c>
      <c r="G6" s="35" t="n">
        <v>0.629166666666667</v>
      </c>
      <c r="H6" s="35" t="n">
        <v>0.714416666666667</v>
      </c>
      <c r="I6" s="36" t="n">
        <f aca="false">(E6-C6)/C6</f>
        <v>0.10984738659427</v>
      </c>
    </row>
    <row r="7" customFormat="false" ht="19.5" hidden="false" customHeight="true" outlineLevel="0" collapsed="false">
      <c r="A7" s="20" t="s">
        <v>100</v>
      </c>
      <c r="B7" s="21" t="s">
        <v>101</v>
      </c>
      <c r="C7" s="22" t="n">
        <v>45254.7</v>
      </c>
      <c r="D7" s="22" t="n">
        <v>48122.8</v>
      </c>
      <c r="E7" s="22" t="n">
        <v>49774.2</v>
      </c>
      <c r="F7" s="34" t="n">
        <v>33.2</v>
      </c>
      <c r="G7" s="35" t="n">
        <v>0.639833333333333</v>
      </c>
      <c r="H7" s="35" t="n">
        <v>0.733333333333333</v>
      </c>
      <c r="I7" s="36" t="n">
        <f aca="false">(E7-C7)/C7</f>
        <v>0.0998680800005303</v>
      </c>
    </row>
    <row r="8" customFormat="false" ht="19.5" hidden="false" customHeight="true" outlineLevel="0" collapsed="false">
      <c r="A8" s="20" t="s">
        <v>102</v>
      </c>
      <c r="B8" s="21" t="s">
        <v>101</v>
      </c>
      <c r="C8" s="22" t="n">
        <v>83656.2</v>
      </c>
      <c r="D8" s="22" t="n">
        <v>88753.4</v>
      </c>
      <c r="E8" s="22" t="n">
        <v>92874.5</v>
      </c>
      <c r="F8" s="34" t="n">
        <v>28.7</v>
      </c>
      <c r="G8" s="35" t="n">
        <v>0.61075</v>
      </c>
      <c r="H8" s="35" t="n">
        <v>0.703666666666667</v>
      </c>
      <c r="I8" s="36" t="n">
        <f aca="false">(E8-C8)/C8</f>
        <v>0.110192669521207</v>
      </c>
    </row>
    <row r="9" customFormat="false" ht="19.5" hidden="false" customHeight="true" outlineLevel="0" collapsed="false">
      <c r="A9" s="20" t="s">
        <v>103</v>
      </c>
      <c r="B9" s="21" t="s">
        <v>96</v>
      </c>
      <c r="C9" s="22" t="n">
        <v>36651.3</v>
      </c>
      <c r="D9" s="22" t="n">
        <v>39076.3</v>
      </c>
      <c r="E9" s="22" t="n">
        <v>40281</v>
      </c>
      <c r="F9" s="34" t="n">
        <v>30.2</v>
      </c>
      <c r="G9" s="35" t="n">
        <v>0.640583333333333</v>
      </c>
      <c r="H9" s="35" t="n">
        <v>0.71025</v>
      </c>
      <c r="I9" s="36" t="n">
        <f aca="false">(E9-C9)/C9</f>
        <v>0.0990333221468269</v>
      </c>
    </row>
    <row r="10" customFormat="false" ht="19.5" hidden="false" customHeight="true" outlineLevel="0" collapsed="false">
      <c r="A10" s="20" t="s">
        <v>104</v>
      </c>
      <c r="B10" s="21" t="s">
        <v>101</v>
      </c>
      <c r="C10" s="22" t="n">
        <v>48243.1</v>
      </c>
      <c r="D10" s="22" t="n">
        <v>51577.5</v>
      </c>
      <c r="E10" s="22" t="n">
        <v>52326.8</v>
      </c>
      <c r="F10" s="34" t="n">
        <v>32.5</v>
      </c>
      <c r="G10" s="35" t="n">
        <v>0.617083333333333</v>
      </c>
      <c r="H10" s="35" t="n">
        <v>0.742416666666667</v>
      </c>
      <c r="I10" s="36" t="n">
        <f aca="false">(E10-C10)/C10</f>
        <v>0.0846483745862103</v>
      </c>
    </row>
    <row r="12" customFormat="false" ht="24" hidden="false" customHeight="true" outlineLevel="0" collapsed="false">
      <c r="A12" s="14" t="s">
        <v>105</v>
      </c>
      <c r="B12" s="14"/>
      <c r="C12" s="14"/>
      <c r="D12" s="14"/>
      <c r="E12" s="14"/>
      <c r="F12" s="14"/>
      <c r="G12" s="14"/>
      <c r="H12" s="14"/>
      <c r="I12" s="14"/>
    </row>
    <row r="13" customFormat="false" ht="19.5" hidden="false" customHeight="true" outlineLevel="0" collapsed="false">
      <c r="A13" s="20" t="s">
        <v>96</v>
      </c>
      <c r="B13" s="27"/>
      <c r="C13" s="28" t="n">
        <f aca="false">SUMIF($B$3:$B$11,"Personal",C$3:C$11)</f>
        <v>376206.3</v>
      </c>
      <c r="D13" s="28" t="n">
        <f aca="false">SUMIF($B$3:$B$11,"Personal",D$3:D$11)</f>
        <v>396964.5</v>
      </c>
      <c r="E13" s="28" t="n">
        <f aca="false">SUMIF($B$3:$B$11,"Personal",E$3:E$11)</f>
        <v>412224.6</v>
      </c>
    </row>
    <row r="14" customFormat="false" ht="19.5" hidden="false" customHeight="true" outlineLevel="0" collapsed="false">
      <c r="A14" s="20" t="s">
        <v>101</v>
      </c>
      <c r="B14" s="27"/>
      <c r="C14" s="28" t="n">
        <f aca="false">SUMIF($B$3:$B$12,"Business",C$3:C$12)</f>
        <v>177154</v>
      </c>
      <c r="D14" s="28" t="n">
        <f aca="false">SUMIF($B$3:$B$12,"Business",D$3:D$12)</f>
        <v>188453.7</v>
      </c>
      <c r="E14" s="28" t="n">
        <f aca="false">SUMIF($B$3:$B$12,"Business",E$3:E$12)</f>
        <v>194975.5</v>
      </c>
    </row>
    <row r="15" customFormat="false" ht="19.5" hidden="false" customHeight="true" outlineLevel="0" collapsed="false">
      <c r="A15" s="20" t="s">
        <v>106</v>
      </c>
      <c r="B15" s="27"/>
      <c r="C15" s="28" t="n">
        <f aca="false">SUM(C3:C13)</f>
        <v>929566.6</v>
      </c>
      <c r="D15" s="28" t="n">
        <f aca="false">SUM(D3:D13)</f>
        <v>982382.7</v>
      </c>
      <c r="E15" s="28" t="n">
        <f aca="false">SUM(E3:E13)</f>
        <v>1019424.7</v>
      </c>
    </row>
  </sheetData>
  <mergeCells count="2">
    <mergeCell ref="A1:I1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4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24" hidden="false" customHeight="true" outlineLevel="0" collapsed="false">
      <c r="A1" s="13" t="s">
        <v>107</v>
      </c>
      <c r="B1" s="13"/>
      <c r="C1" s="13"/>
      <c r="D1" s="13"/>
      <c r="E1" s="13"/>
      <c r="F1" s="13"/>
      <c r="G1" s="13"/>
      <c r="H1" s="13"/>
      <c r="I1" s="13"/>
    </row>
    <row r="2" customFormat="false" ht="27.75" hidden="false" customHeight="true" outlineLevel="0" collapsed="false">
      <c r="A2" s="19" t="s">
        <v>108</v>
      </c>
      <c r="B2" s="19" t="s">
        <v>109</v>
      </c>
      <c r="C2" s="19" t="s">
        <v>110</v>
      </c>
      <c r="D2" s="19" t="s">
        <v>111</v>
      </c>
      <c r="E2" s="19" t="s">
        <v>112</v>
      </c>
      <c r="F2" s="19" t="s">
        <v>113</v>
      </c>
      <c r="G2" s="19" t="s">
        <v>114</v>
      </c>
      <c r="H2" s="19" t="s">
        <v>115</v>
      </c>
      <c r="I2" s="19" t="s">
        <v>116</v>
      </c>
    </row>
    <row r="3" customFormat="false" ht="19.5" hidden="false" customHeight="true" outlineLevel="0" collapsed="false">
      <c r="A3" s="20" t="s">
        <v>117</v>
      </c>
      <c r="B3" s="22" t="n">
        <v>73738.3</v>
      </c>
      <c r="C3" s="22" t="n">
        <v>78842.3</v>
      </c>
      <c r="D3" s="22" t="n">
        <v>80283.2</v>
      </c>
      <c r="E3" s="35" t="n">
        <v>0.598716666666667</v>
      </c>
      <c r="F3" s="35" t="n">
        <v>0.248825</v>
      </c>
      <c r="G3" s="37" t="n">
        <v>0.847541666666667</v>
      </c>
      <c r="H3" s="22" t="n">
        <v>12241.3</v>
      </c>
      <c r="I3" s="35" t="n">
        <v>0.842416666666667</v>
      </c>
    </row>
    <row r="4" customFormat="false" ht="19.5" hidden="false" customHeight="true" outlineLevel="0" collapsed="false">
      <c r="A4" s="20" t="s">
        <v>118</v>
      </c>
      <c r="B4" s="22" t="n">
        <v>26044.7</v>
      </c>
      <c r="C4" s="22" t="n">
        <v>27975.4</v>
      </c>
      <c r="D4" s="22" t="n">
        <v>30384.6</v>
      </c>
      <c r="E4" s="35" t="n">
        <v>0.657141666666667</v>
      </c>
      <c r="F4" s="35" t="n">
        <v>0.3146</v>
      </c>
      <c r="G4" s="35" t="n">
        <v>0.971741666666667</v>
      </c>
      <c r="H4" s="22" t="n">
        <v>866.3</v>
      </c>
      <c r="I4" s="35" t="n">
        <v>0.84825</v>
      </c>
    </row>
    <row r="5" customFormat="false" ht="19.5" hidden="false" customHeight="true" outlineLevel="0" collapsed="false">
      <c r="A5" s="20" t="s">
        <v>119</v>
      </c>
      <c r="B5" s="22" t="n">
        <v>55889.7</v>
      </c>
      <c r="C5" s="22" t="n">
        <v>59121.9</v>
      </c>
      <c r="D5" s="22" t="n">
        <v>60350.6</v>
      </c>
      <c r="E5" s="35" t="n">
        <v>0.724266666666667</v>
      </c>
      <c r="F5" s="35" t="n">
        <v>0.218108333333333</v>
      </c>
      <c r="G5" s="37" t="n">
        <v>0.942375</v>
      </c>
      <c r="H5" s="22" t="n">
        <v>3510.9</v>
      </c>
      <c r="I5" s="35" t="n">
        <v>0.829416666666667</v>
      </c>
    </row>
    <row r="6" customFormat="false" ht="19.5" hidden="false" customHeight="true" outlineLevel="0" collapsed="false">
      <c r="A6" s="20" t="s">
        <v>120</v>
      </c>
      <c r="B6" s="22" t="n">
        <v>63210.2</v>
      </c>
      <c r="C6" s="22" t="n">
        <v>66352.4</v>
      </c>
      <c r="D6" s="22" t="n">
        <v>69952.9</v>
      </c>
      <c r="E6" s="35" t="n">
        <v>0.609766666666667</v>
      </c>
      <c r="F6" s="35" t="n">
        <v>0.302991666666667</v>
      </c>
      <c r="G6" s="37" t="n">
        <v>0.912758333333333</v>
      </c>
      <c r="H6" s="22" t="n">
        <v>6092.9</v>
      </c>
      <c r="I6" s="35" t="n">
        <v>0.843916666666667</v>
      </c>
    </row>
    <row r="7" customFormat="false" ht="19.5" hidden="false" customHeight="true" outlineLevel="0" collapsed="false">
      <c r="A7" s="20" t="s">
        <v>121</v>
      </c>
      <c r="B7" s="22" t="n">
        <v>46660.8</v>
      </c>
      <c r="C7" s="22" t="n">
        <v>48515.9</v>
      </c>
      <c r="D7" s="22" t="n">
        <v>50179.3</v>
      </c>
      <c r="E7" s="35" t="n">
        <v>0.571758333333333</v>
      </c>
      <c r="F7" s="35" t="n">
        <v>0.26805</v>
      </c>
      <c r="G7" s="37" t="n">
        <v>0.839808333333333</v>
      </c>
      <c r="H7" s="22" t="n">
        <v>8026.8</v>
      </c>
      <c r="I7" s="35" t="n">
        <v>0.854416666666667</v>
      </c>
    </row>
    <row r="8" customFormat="false" ht="19.5" hidden="false" customHeight="true" outlineLevel="0" collapsed="false">
      <c r="A8" s="20" t="s">
        <v>122</v>
      </c>
      <c r="B8" s="22" t="n">
        <v>104826.2</v>
      </c>
      <c r="C8" s="22" t="n">
        <v>112796.2</v>
      </c>
      <c r="D8" s="22" t="n">
        <v>122537.6</v>
      </c>
      <c r="E8" s="35" t="n">
        <v>0.691366666666667</v>
      </c>
      <c r="F8" s="35" t="n">
        <v>0.2776</v>
      </c>
      <c r="G8" s="35" t="n">
        <v>0.968966666666667</v>
      </c>
      <c r="H8" s="22" t="n">
        <v>3920.5</v>
      </c>
      <c r="I8" s="35" t="n">
        <v>0.849583333333333</v>
      </c>
    </row>
    <row r="10" customFormat="false" ht="24" hidden="false" customHeight="true" outlineLevel="0" collapsed="false">
      <c r="A10" s="14" t="s">
        <v>123</v>
      </c>
      <c r="B10" s="14"/>
      <c r="C10" s="14"/>
      <c r="D10" s="14"/>
      <c r="E10" s="14"/>
      <c r="F10" s="14"/>
      <c r="G10" s="14"/>
      <c r="H10" s="14"/>
      <c r="I10" s="14"/>
    </row>
    <row r="11" customFormat="false" ht="21.75" hidden="false" customHeight="true" outlineLevel="0" collapsed="false">
      <c r="A11" s="26" t="s">
        <v>124</v>
      </c>
      <c r="B11" s="28" t="n">
        <f aca="false">SUM(B3:B9)</f>
        <v>370369.9</v>
      </c>
      <c r="C11" s="28" t="n">
        <f aca="false">SUM(C3:C9)</f>
        <v>393604.1</v>
      </c>
      <c r="D11" s="28" t="n">
        <f aca="false">SUM(D3:D9)</f>
        <v>413688.2</v>
      </c>
      <c r="E11" s="36" t="n">
        <f aca="false">AVERAGE(E3:E9)</f>
        <v>0.642169444444445</v>
      </c>
      <c r="F11" s="36" t="n">
        <f aca="false">AVERAGE(F3:F9)</f>
        <v>0.271695833333333</v>
      </c>
      <c r="G11" s="36" t="n">
        <f aca="false">AVERAGE(G3:G9)</f>
        <v>0.913865277777778</v>
      </c>
      <c r="H11" s="28" t="n">
        <f aca="false">SUM(H3:H9)</f>
        <v>34658.7</v>
      </c>
      <c r="I11" s="36" t="n">
        <f aca="false">AVERAGE(I3:I9)</f>
        <v>0.844666666666667</v>
      </c>
    </row>
  </sheetData>
  <mergeCells count="2">
    <mergeCell ref="A1:I1"/>
    <mergeCell ref="A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2"/>
  </cols>
  <sheetData>
    <row r="1" customFormat="false" ht="24" hidden="false" customHeight="true" outlineLevel="0" collapsed="false">
      <c r="A1" s="13" t="s">
        <v>125</v>
      </c>
      <c r="B1" s="13"/>
      <c r="C1" s="13"/>
      <c r="D1" s="13"/>
      <c r="E1" s="13"/>
    </row>
    <row r="2" customFormat="false" ht="24" hidden="false" customHeight="true" outlineLevel="0" collapsed="false">
      <c r="A2" s="19" t="s">
        <v>126</v>
      </c>
      <c r="B2" s="19" t="s">
        <v>127</v>
      </c>
      <c r="C2" s="19" t="s">
        <v>128</v>
      </c>
      <c r="D2" s="19" t="s">
        <v>129</v>
      </c>
      <c r="E2" s="19" t="s">
        <v>130</v>
      </c>
    </row>
    <row r="3" customFormat="false" ht="21.75" hidden="false" customHeight="true" outlineLevel="0" collapsed="false">
      <c r="A3" s="14" t="s">
        <v>131</v>
      </c>
      <c r="B3" s="14"/>
      <c r="C3" s="14"/>
      <c r="D3" s="14"/>
      <c r="E3" s="14"/>
    </row>
    <row r="4" customFormat="false" ht="21.75" hidden="false" customHeight="true" outlineLevel="0" collapsed="false">
      <c r="A4" s="15" t="s">
        <v>132</v>
      </c>
      <c r="B4" s="38" t="n">
        <f aca="false">AM_Performance!E16</f>
        <v>863.866666666667</v>
      </c>
      <c r="C4" s="38" t="n">
        <f aca="false">RB_Revenue!E16</f>
        <v>0</v>
      </c>
      <c r="D4" s="38" t="n">
        <f aca="false">Ins_Ratios!D9</f>
        <v>0</v>
      </c>
      <c r="E4" s="17" t="s">
        <v>133</v>
      </c>
    </row>
    <row r="5" customFormat="false" ht="21.75" hidden="false" customHeight="true" outlineLevel="0" collapsed="false">
      <c r="A5" s="15" t="s">
        <v>134</v>
      </c>
      <c r="B5" s="39" t="s">
        <v>135</v>
      </c>
      <c r="C5" s="38" t="n">
        <f aca="false">RB_Revenue!I3</f>
        <v>0.07966212791837</v>
      </c>
      <c r="D5" s="38" t="n">
        <f aca="false">(Ins_Ratios!D3-Ins_Ratios!B3)/Ins_Ratios!B3</f>
        <v>0.088758487787215</v>
      </c>
      <c r="E5" s="17" t="s">
        <v>136</v>
      </c>
    </row>
    <row r="6" customFormat="false" ht="21.75" hidden="false" customHeight="true" outlineLevel="0" collapsed="false">
      <c r="A6" s="14" t="s">
        <v>137</v>
      </c>
      <c r="B6" s="14"/>
      <c r="C6" s="14"/>
      <c r="D6" s="14"/>
      <c r="E6" s="14"/>
    </row>
    <row r="7" customFormat="false" ht="21.75" hidden="false" customHeight="true" outlineLevel="0" collapsed="false">
      <c r="A7" s="15" t="s">
        <v>138</v>
      </c>
      <c r="B7" s="39" t="s">
        <v>135</v>
      </c>
      <c r="C7" s="38" t="n">
        <f aca="false">RB_Revenue!G3</f>
        <v>0.611666666666667</v>
      </c>
      <c r="D7" s="39" t="s">
        <v>135</v>
      </c>
      <c r="E7" s="17" t="s">
        <v>139</v>
      </c>
    </row>
    <row r="8" customFormat="false" ht="21.75" hidden="false" customHeight="true" outlineLevel="0" collapsed="false">
      <c r="A8" s="15" t="s">
        <v>140</v>
      </c>
      <c r="B8" s="39" t="s">
        <v>135</v>
      </c>
      <c r="C8" s="39" t="s">
        <v>135</v>
      </c>
      <c r="D8" s="38" t="n">
        <f aca="false">Ins_Ratios!G16</f>
        <v>0</v>
      </c>
      <c r="E8" s="17" t="s">
        <v>141</v>
      </c>
    </row>
    <row r="9" customFormat="false" ht="21.75" hidden="false" customHeight="true" outlineLevel="0" collapsed="false">
      <c r="A9" s="14" t="s">
        <v>142</v>
      </c>
      <c r="B9" s="14"/>
      <c r="C9" s="14"/>
      <c r="D9" s="14"/>
      <c r="E9" s="14"/>
    </row>
    <row r="10" customFormat="false" ht="21.75" hidden="false" customHeight="true" outlineLevel="0" collapsed="false">
      <c r="A10" s="15" t="s">
        <v>143</v>
      </c>
      <c r="B10" s="39" t="s">
        <v>135</v>
      </c>
      <c r="C10" s="38" t="n">
        <f aca="false">RB_Revenue!F3</f>
        <v>29.2</v>
      </c>
      <c r="D10" s="39" t="s">
        <v>135</v>
      </c>
      <c r="E10" s="17" t="s">
        <v>144</v>
      </c>
    </row>
    <row r="11" customFormat="false" ht="21.75" hidden="false" customHeight="true" outlineLevel="0" collapsed="false">
      <c r="A11" s="15" t="s">
        <v>145</v>
      </c>
      <c r="B11" s="39" t="s">
        <v>135</v>
      </c>
      <c r="C11" s="39" t="s">
        <v>135</v>
      </c>
      <c r="D11" s="38" t="n">
        <f aca="false">Ins_Ratios!I3</f>
        <v>0.842416666666667</v>
      </c>
      <c r="E11" s="17" t="s">
        <v>146</v>
      </c>
    </row>
    <row r="12" customFormat="false" ht="21.75" hidden="false" customHeight="true" outlineLevel="0" collapsed="false">
      <c r="A12" s="14" t="s">
        <v>147</v>
      </c>
      <c r="B12" s="14"/>
      <c r="C12" s="14"/>
      <c r="D12" s="14"/>
      <c r="E12" s="14"/>
    </row>
    <row r="13" customFormat="false" ht="21.75" hidden="false" customHeight="true" outlineLevel="0" collapsed="false">
      <c r="A13" s="15" t="s">
        <v>148</v>
      </c>
      <c r="B13" s="38" t="n">
        <f aca="false">AM_Performance!E25</f>
        <v>0</v>
      </c>
      <c r="C13" s="39" t="s">
        <v>135</v>
      </c>
      <c r="D13" s="39" t="s">
        <v>135</v>
      </c>
      <c r="E13" s="17" t="s">
        <v>149</v>
      </c>
    </row>
  </sheetData>
  <mergeCells count="5">
    <mergeCell ref="A1:E1"/>
    <mergeCell ref="A3:E3"/>
    <mergeCell ref="A6:E6"/>
    <mergeCell ref="A9:E9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2026-06-19T23:40:34Z</dcterms:created>
  <dc:creator>openpyxl</dc:creator>
  <dc:description/>
  <dc:language>en-US</dc:language>
  <cp:lastModifiedBy/>
  <dcterms:modified xsi:type="dcterms:W3CDTF">2026-06-19T23:40:35Z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